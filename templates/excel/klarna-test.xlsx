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Log" sheetId="1" state="visible" r:id="rId1"/>
    <sheet name="Klarna_Score" sheetId="2" state="visible" r:id="rId2"/>
    <sheet name="Quality_Gates" sheetId="3" state="visible" r:id="rId3"/>
    <sheet name="Reversal_Plan" sheetId="4" state="visible" r:id="rId4"/>
    <sheet name="_metadata" sheetId="5" state="hidden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14" customWidth="1" min="4" max="4"/>
    <col width="40" customWidth="1" min="5" max="5"/>
    <col width="16" customWidth="1" min="6" max="6"/>
    <col width="22" customWidth="1" min="7" max="7"/>
    <col width="12" customWidth="1" min="8" max="8"/>
    <col width="12" customWidth="1" min="9" max="9"/>
    <col width="28" customWidth="1" min="10" max="10"/>
    <col width="14" customWidth="1" min="11" max="11"/>
    <col width="30" customWidth="1" min="12" max="12"/>
  </cols>
  <sheetData>
    <row r="1">
      <c r="A1" s="1" t="inlineStr">
        <is>
          <t>test_id</t>
        </is>
      </c>
      <c r="B1" s="1" t="inlineStr">
        <is>
          <t>date</t>
        </is>
      </c>
      <c r="C1" s="1" t="inlineStr">
        <is>
          <t>decision_summary</t>
        </is>
      </c>
      <c r="D1" s="1" t="inlineStr">
        <is>
          <t>trigger</t>
        </is>
      </c>
      <c r="E1" s="1" t="inlineStr">
        <is>
          <t>trigger_ref</t>
        </is>
      </c>
      <c r="F1" s="1" t="inlineStr">
        <is>
          <t>scorer</t>
        </is>
      </c>
      <c r="G1" s="1" t="inlineStr">
        <is>
          <t>non_beneficiary_reviewer</t>
        </is>
      </c>
      <c r="H1" s="1" t="inlineStr">
        <is>
          <t>total_score</t>
        </is>
      </c>
      <c r="I1" s="1" t="inlineStr">
        <is>
          <t>decision</t>
        </is>
      </c>
      <c r="J1" s="1" t="inlineStr">
        <is>
          <t>reversal_plan_ref</t>
        </is>
      </c>
      <c r="K1" s="1" t="inlineStr">
        <is>
          <t>review_date_90d</t>
        </is>
      </c>
      <c r="L1" s="1" t="inlineStr">
        <is>
          <t>post_review_outcome</t>
        </is>
      </c>
    </row>
    <row r="2">
      <c r="A2" t="inlineStr">
        <is>
          <t>[SAMPLE]KT-2026-014</t>
        </is>
      </c>
      <c r="B2" t="inlineStr">
        <is>
          <t>2026-04-29</t>
        </is>
      </c>
      <c r="C2" t="inlineStr">
        <is>
          <t>Replace manual customer-onboarding email step with AI-drafted version</t>
        </is>
      </c>
      <c r="D2" t="inlineStr">
        <is>
          <t>pr_label</t>
        </is>
      </c>
      <c r="E2" t="inlineStr">
        <is>
          <t>https://github.com/firm/firm-saas/pull/1502</t>
        </is>
      </c>
      <c r="F2" t="inlineStr">
        <is>
          <t>davor-krznar</t>
        </is>
      </c>
      <c r="G2" t="inlineStr">
        <is>
          <t>mira-tek</t>
        </is>
      </c>
      <c r="H2">
        <f>IFERROR(VLOOKUP(A2,Klarna_Score!A:L,12,FALSE),"")</f>
        <v/>
      </c>
      <c r="I2">
        <f>IF(ISBLANK(H2),"",IF(H2&gt;=14,"PROCEED","HOLD"))</f>
        <v/>
      </c>
      <c r="K2" s="2" t="n">
        <v>46246</v>
      </c>
    </row>
  </sheetData>
  <conditionalFormatting sqref="I2:I1000">
    <cfRule type="cellIs" priority="1" operator="equal" dxfId="0">
      <formula>"PROCEED"</formula>
    </cfRule>
    <cfRule type="cellIs" priority="2" operator="equal" dxfId="1">
      <formula>"HOLD"</formula>
    </cfRule>
  </conditionalFormatting>
  <conditionalFormatting sqref="K2:K1000">
    <cfRule type="expression" priority="3" dxfId="1">
      <formula>AND(K2&lt;&gt;"",K2&lt;TODAY(),L2="")</formula>
    </cfRule>
  </conditionalFormatting>
  <dataValidations count="1">
    <dataValidation sqref="D2:D1000" showDropDown="0" showInputMessage="0" showErrorMessage="0" allowBlank="0" type="list">
      <formula1>"pr_label,manual,pre_rollout"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total</t>
        </is>
      </c>
      <c r="M1" s="1" t="inlineStr">
        <is>
          <t>evidence_links</t>
        </is>
      </c>
      <c r="N1" s="1" t="inlineStr">
        <is>
          <t>scorer_signoff</t>
        </is>
      </c>
      <c r="O1" s="1" t="inlineStr">
        <is>
          <t>non_beneficiary_signoff</t>
        </is>
      </c>
    </row>
    <row r="2">
      <c r="A2" t="inlineStr">
        <is>
          <t>[SAMPLE]KT-2026-014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>
        <f>SUM(B2:K2)</f>
        <v/>
      </c>
      <c r="M2" t="inlineStr">
        <is>
          <t>All evidence in Brain page firm/klarna-tests/KT-2026-014</t>
        </is>
      </c>
      <c r="N2" t="inlineStr">
        <is>
          <t>Yes</t>
        </is>
      </c>
      <c r="O2" t="inlineStr">
        <is>
          <t>Yes</t>
        </is>
      </c>
    </row>
  </sheetData>
  <conditionalFormatting sqref="B2:B1000">
    <cfRule type="cellIs" priority="1" operator="equal" dxfId="1">
      <formula>0</formula>
    </cfRule>
    <cfRule type="cellIs" priority="2" operator="equal" dxfId="2">
      <formula>1</formula>
    </cfRule>
    <cfRule type="cellIs" priority="3" operator="equal" dxfId="0">
      <formula>2</formula>
    </cfRule>
  </conditionalFormatting>
  <conditionalFormatting sqref="C2:C1000">
    <cfRule type="cellIs" priority="4" operator="equal" dxfId="1">
      <formula>0</formula>
    </cfRule>
    <cfRule type="cellIs" priority="5" operator="equal" dxfId="2">
      <formula>1</formula>
    </cfRule>
    <cfRule type="cellIs" priority="6" operator="equal" dxfId="0">
      <formula>2</formula>
    </cfRule>
  </conditionalFormatting>
  <conditionalFormatting sqref="D2:D1000">
    <cfRule type="cellIs" priority="7" operator="equal" dxfId="1">
      <formula>0</formula>
    </cfRule>
    <cfRule type="cellIs" priority="8" operator="equal" dxfId="2">
      <formula>1</formula>
    </cfRule>
    <cfRule type="cellIs" priority="9" operator="equal" dxfId="0">
      <formula>2</formula>
    </cfRule>
  </conditionalFormatting>
  <conditionalFormatting sqref="E2:E1000">
    <cfRule type="cellIs" priority="10" operator="equal" dxfId="1">
      <formula>0</formula>
    </cfRule>
    <cfRule type="cellIs" priority="11" operator="equal" dxfId="2">
      <formula>1</formula>
    </cfRule>
    <cfRule type="cellIs" priority="12" operator="equal" dxfId="0">
      <formula>2</formula>
    </cfRule>
  </conditionalFormatting>
  <conditionalFormatting sqref="F2:F1000">
    <cfRule type="cellIs" priority="13" operator="equal" dxfId="1">
      <formula>0</formula>
    </cfRule>
    <cfRule type="cellIs" priority="14" operator="equal" dxfId="2">
      <formula>1</formula>
    </cfRule>
    <cfRule type="cellIs" priority="15" operator="equal" dxfId="0">
      <formula>2</formula>
    </cfRule>
  </conditionalFormatting>
  <conditionalFormatting sqref="G2:G1000">
    <cfRule type="cellIs" priority="16" operator="equal" dxfId="1">
      <formula>0</formula>
    </cfRule>
    <cfRule type="cellIs" priority="17" operator="equal" dxfId="2">
      <formula>1</formula>
    </cfRule>
    <cfRule type="cellIs" priority="18" operator="equal" dxfId="0">
      <formula>2</formula>
    </cfRule>
  </conditionalFormatting>
  <conditionalFormatting sqref="H2:H1000">
    <cfRule type="cellIs" priority="19" operator="equal" dxfId="1">
      <formula>0</formula>
    </cfRule>
    <cfRule type="cellIs" priority="20" operator="equal" dxfId="2">
      <formula>1</formula>
    </cfRule>
    <cfRule type="cellIs" priority="21" operator="equal" dxfId="0">
      <formula>2</formula>
    </cfRule>
  </conditionalFormatting>
  <conditionalFormatting sqref="I2:I1000">
    <cfRule type="cellIs" priority="22" operator="equal" dxfId="1">
      <formula>0</formula>
    </cfRule>
    <cfRule type="cellIs" priority="23" operator="equal" dxfId="2">
      <formula>1</formula>
    </cfRule>
    <cfRule type="cellIs" priority="24" operator="equal" dxfId="0">
      <formula>2</formula>
    </cfRule>
  </conditionalFormatting>
  <conditionalFormatting sqref="J2:J1000">
    <cfRule type="cellIs" priority="25" operator="equal" dxfId="1">
      <formula>0</formula>
    </cfRule>
    <cfRule type="cellIs" priority="26" operator="equal" dxfId="2">
      <formula>1</formula>
    </cfRule>
    <cfRule type="cellIs" priority="27" operator="equal" dxfId="0">
      <formula>2</formula>
    </cfRule>
  </conditionalFormatting>
  <conditionalFormatting sqref="K2:K1000">
    <cfRule type="cellIs" priority="28" operator="equal" dxfId="1">
      <formula>0</formula>
    </cfRule>
    <cfRule type="cellIs" priority="29" operator="equal" dxfId="2">
      <formula>1</formula>
    </cfRule>
    <cfRule type="cellIs" priority="30" operator="equal" dxfId="0">
      <formula>2</formula>
    </cfRule>
  </conditionalFormatting>
  <conditionalFormatting sqref="L2:L1000">
    <cfRule type="expression" priority="31" dxfId="1">
      <formula>AND($A2&lt;&gt;"",L2&lt;14)</formula>
    </cfRule>
    <cfRule type="expression" priority="32" dxfId="0">
      <formula>AND($A2&lt;&gt;"",L2&gt;=14)</formula>
    </cfRule>
  </conditionalFormatting>
  <dataValidations count="11">
    <dataValidation sqref="B2:B1000" showDropDown="0" showInputMessage="0" showErrorMessage="0" allowBlank="0" promptTitle="Klarna Question Score" prompt="Score: 0 (not addressed), 1 (partial), 2 (fully addressed). See governance/KLARNA-TEST.md." type="list">
      <formula1>"0,1,2"</formula1>
    </dataValidation>
    <dataValidation sqref="C2:C1000" showDropDown="0" showInputMessage="0" showErrorMessage="0" allowBlank="0" promptTitle="Klarna Question Score" prompt="Score: 0 (not addressed), 1 (partial), 2 (fully addressed). See governance/KLARNA-TEST.md." type="list">
      <formula1>"0,1,2"</formula1>
    </dataValidation>
    <dataValidation sqref="D2:D1000" showDropDown="0" showInputMessage="0" showErrorMessage="0" allowBlank="0" promptTitle="Klarna Question Score" prompt="Score: 0 (not addressed), 1 (partial), 2 (fully addressed). See governance/KLARNA-TEST.md." type="list">
      <formula1>"0,1,2"</formula1>
    </dataValidation>
    <dataValidation sqref="E2:E1000" showDropDown="0" showInputMessage="0" showErrorMessage="0" allowBlank="0" promptTitle="Klarna Question Score" prompt="Score: 0 (not addressed), 1 (partial), 2 (fully addressed). See governance/KLARNA-TEST.md." type="list">
      <formula1>"0,1,2"</formula1>
    </dataValidation>
    <dataValidation sqref="F2:F1000" showDropDown="0" showInputMessage="0" showErrorMessage="0" allowBlank="0" promptTitle="Klarna Question Score" prompt="Score: 0 (not addressed), 1 (partial), 2 (fully addressed). See governance/KLARNA-TEST.md." type="list">
      <formula1>"0,1,2"</formula1>
    </dataValidation>
    <dataValidation sqref="G2:G1000" showDropDown="0" showInputMessage="0" showErrorMessage="0" allowBlank="0" promptTitle="Klarna Question Score" prompt="Score: 0 (not addressed), 1 (partial), 2 (fully addressed). See governance/KLARNA-TEST.md." type="list">
      <formula1>"0,1,2"</formula1>
    </dataValidation>
    <dataValidation sqref="H2:H1000" showDropDown="0" showInputMessage="0" showErrorMessage="0" allowBlank="0" promptTitle="Klarna Question Score" prompt="Score: 0 (not addressed), 1 (partial), 2 (fully addressed). See governance/KLARNA-TEST.md." type="list">
      <formula1>"0,1,2"</formula1>
    </dataValidation>
    <dataValidation sqref="I2:I1000" showDropDown="0" showInputMessage="0" showErrorMessage="0" allowBlank="0" promptTitle="Klarna Question Score" prompt="Score: 0 (not addressed), 1 (partial), 2 (fully addressed). See governance/KLARNA-TEST.md." type="list">
      <formula1>"0,1,2"</formula1>
    </dataValidation>
    <dataValidation sqref="J2:J1000" showDropDown="0" showInputMessage="0" showErrorMessage="0" allowBlank="0" promptTitle="Klarna Question Score" prompt="Score: 0 (not addressed), 1 (partial), 2 (fully addressed). See governance/KLARNA-TEST.md." type="list">
      <formula1>"0,1,2"</formula1>
    </dataValidation>
    <dataValidation sqref="K2:K1000" showDropDown="0" showInputMessage="0" showErrorMessage="0" allowBlank="0" promptTitle="Klarna Question Score" prompt="Score: 0 (not addressed), 1 (partial), 2 (fully addressed). See governance/KLARNA-TEST.md." type="list">
      <formula1>"0,1,2"</formula1>
    </dataValidation>
    <dataValidation sqref="N2:O1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threshold</t>
        </is>
      </c>
      <c r="E1" s="1" t="inlineStr">
        <is>
          <t>current</t>
        </is>
      </c>
      <c r="F1" s="1" t="inlineStr">
        <is>
          <t>breach_check</t>
        </is>
      </c>
    </row>
    <row r="2">
      <c r="A2" t="inlineStr">
        <is>
          <t>[SAMPLE]KT-2026-014</t>
        </is>
      </c>
      <c r="B2" t="inlineStr">
        <is>
          <t>first-contact resolution %</t>
        </is>
      </c>
      <c r="C2" t="n">
        <v>82</v>
      </c>
      <c r="D2" t="n">
        <v>75</v>
      </c>
      <c r="E2" t="n">
        <v>79</v>
      </c>
      <c r="F2">
        <f>IF(E2&lt;D2,"BREACHED","OK")</f>
        <v/>
      </c>
    </row>
  </sheetData>
  <conditionalFormatting sqref="F2:F1000">
    <cfRule type="cellIs" priority="1" operator="equal" dxfId="1">
      <formula>"BREACHED"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reversal_action</t>
        </is>
      </c>
      <c r="C1" s="1" t="inlineStr">
        <is>
          <t>standby_partners</t>
        </is>
      </c>
      <c r="D1" s="1" t="inlineStr">
        <is>
          <t>standby_contract_ref</t>
        </is>
      </c>
      <c r="E1" s="1" t="inlineStr">
        <is>
          <t>reversal_owner</t>
        </is>
      </c>
      <c r="F1" s="1" t="inlineStr">
        <is>
          <t>max_reversal_time</t>
        </is>
      </c>
    </row>
    <row r="2">
      <c r="A2" t="inlineStr">
        <is>
          <t>[SAMPLE]KT-2026-014</t>
        </is>
      </c>
      <c r="B2" t="inlineStr">
        <is>
          <t>Restore manual customer-onboarding email path; high-tier customers escalate to Anya</t>
        </is>
      </c>
      <c r="C2" t="inlineStr">
        <is>
          <t>anya-gorska</t>
        </is>
      </c>
      <c r="D2" t="inlineStr">
        <is>
          <t>(retained as full-time-partner; no separate standby contract needed)</t>
        </is>
      </c>
      <c r="E2" t="inlineStr">
        <is>
          <t>founder-tali</t>
        </is>
      </c>
      <c r="F2" t="inlineStr">
        <is>
          <t>2 weeks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1.0.0</t>
        </is>
      </c>
    </row>
    <row r="3">
      <c r="A3" t="inlineStr">
        <is>
          <t>generation_date</t>
        </is>
      </c>
      <c r="B3" t="inlineStr">
        <is>
          <t>2026-07-04</t>
        </is>
      </c>
    </row>
    <row r="4">
      <c r="A4" t="inlineStr">
        <is>
          <t>oot_version</t>
        </is>
      </c>
      <c r="B4" t="inlineStr">
        <is>
          <t>1.0.0</t>
        </is>
      </c>
    </row>
    <row r="5">
      <c r="A5" t="inlineStr">
        <is>
          <t>file_id</t>
        </is>
      </c>
      <c r="B5" t="inlineStr">
        <is>
          <t>X4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 klarna-test.xlsx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Operational scoring of the framework's signature epistemic check. Triggered by Routine R7 on `ai-replaces-human` PR labels; also used manually for non-PR decisions.</t>
        </is>
      </c>
    </row>
    <row r="5">
      <c r="A5" t="inlineStr"/>
    </row>
    <row r="6">
      <c r="A6" t="inlineStr">
        <is>
          <t>WRITTEN BY</t>
        </is>
      </c>
    </row>
    <row r="7">
      <c r="A7" t="inlineStr">
        <is>
          <t>- Routine R7 (Klarna Test Trigger) — appends rows to Decision_Log on PR-label events.</t>
        </is>
      </c>
    </row>
    <row r="8">
      <c r="A8" t="inlineStr">
        <is>
          <t>- Manual scoring by the assigned scorer + non-beneficiary reviewer in Klarna_Score.</t>
        </is>
      </c>
    </row>
    <row r="9">
      <c r="A9" t="inlineStr"/>
    </row>
    <row r="10">
      <c r="A10" t="inlineStr">
        <is>
          <t>READ BY</t>
        </is>
      </c>
    </row>
    <row r="11">
      <c r="A11" t="inlineStr">
        <is>
          <t>- Routine R7 — the `oot/klarna-test` GitHub status check workflow polls Klarna_Score for the matching test_id; sets the check passing only when total_score &gt;= 14 AND scorer_signoff = Yes AND non_beneficiary_signoff = Yes.</t>
        </is>
      </c>
    </row>
    <row r="12">
      <c r="A12" t="inlineStr">
        <is>
          <t>- Routine R6 (Daily Audit Trail) — references Klarna Test entries.</t>
        </is>
      </c>
    </row>
    <row r="13">
      <c r="A13" t="inlineStr">
        <is>
          <t>- Routine R2 (Weekly BR Prep) — surfaces open + recently-resolved tests in the Klarna_Test_Hits mirror in X3.</t>
        </is>
      </c>
    </row>
    <row r="14">
      <c r="A14" t="inlineStr"/>
    </row>
    <row r="15">
      <c r="A15" t="inlineStr">
        <is>
          <t>VALIDATION</t>
        </is>
      </c>
    </row>
    <row r="16">
      <c r="A16" t="inlineStr">
        <is>
          <t>- Each Q column accepts only 0, 1, or 2.</t>
        </is>
      </c>
    </row>
    <row r="17">
      <c r="A17" t="inlineStr">
        <is>
          <t>- No "n/a" affordance — every question always applies. Q8 (public-communication posture) explicitly requires "no comms" to be itself a written, owned posture to score 2.</t>
        </is>
      </c>
    </row>
    <row r="18">
      <c r="A18" t="inlineStr"/>
    </row>
    <row r="19">
      <c r="A19" t="inlineStr">
        <is>
          <t>DO NOT</t>
        </is>
      </c>
    </row>
    <row r="20">
      <c r="A20" t="inlineStr">
        <is>
          <t>- Bypass the discipline. The Klarna Test is non-negotiable.</t>
        </is>
      </c>
    </row>
    <row r="21">
      <c r="A21" t="inlineStr">
        <is>
          <t>- Score with a beneficiary as the non-beneficiary reviewer (Q7).</t>
        </is>
      </c>
    </row>
    <row r="22">
      <c r="A22" t="inlineStr">
        <is>
          <t>- Flip total_score &gt;= 14 by rationalising 1s into 2s. The pre-committed remediation flow exists for tests that score below threshold.</t>
        </is>
      </c>
    </row>
    <row r="23">
      <c r="A23" t="inlineStr">
        <is>
          <t>- Modify completed (signed-off) Klarna_Score rows. Re-scores after remediation update the SAME row; do not create a new test_id.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2026-07-04T06:12:14Z</dcterms:created>
  <dcterms:modified xsi:type="dcterms:W3CDTF">2026-07-04T06:12:14Z</dcterms:modified>
</cp:coreProperties>
</file>