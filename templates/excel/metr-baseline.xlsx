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etrics" sheetId="1" state="visible" r:id="rId1"/>
    <sheet name="Self_Report_vs_Actual" sheetId="2" state="visible" r:id="rId2"/>
    <sheet name="Pilot_Cohort" sheetId="3" state="visible" r:id="rId3"/>
    <sheet name="Adoption_Curve" sheetId="4" state="visible" r:id="rId4"/>
    <sheet name="_metadata" sheetId="5" state="hidden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metric_name</t>
        </is>
      </c>
      <c r="B1" s="1" t="inlineStr">
        <is>
          <t>source</t>
        </is>
      </c>
      <c r="C1" s="1" t="inlineStr">
        <is>
          <t>baseline_value</t>
        </is>
      </c>
      <c r="D1" s="1" t="inlineStr">
        <is>
          <t>capture_date</t>
        </is>
      </c>
      <c r="E1" s="1" t="inlineStr">
        <is>
          <t>capture_period_days</t>
        </is>
      </c>
      <c r="F1" s="1" t="inlineStr">
        <is>
          <t>owner</t>
        </is>
      </c>
      <c r="G1" s="1" t="inlineStr">
        <is>
          <t>notes</t>
        </is>
      </c>
    </row>
    <row r="2">
      <c r="A2" t="inlineStr">
        <is>
          <t>[DORA] deployment_frequency</t>
        </is>
      </c>
      <c r="B2" t="inlineStr">
        <is>
          <t>GitHub API</t>
        </is>
      </c>
      <c r="C2" t="n">
        <v>2.4</v>
      </c>
      <c r="D2" t="inlineStr">
        <is>
          <t>2026-02-28</t>
        </is>
      </c>
      <c r="E2" t="n">
        <v>90</v>
      </c>
      <c r="F2" t="inlineStr">
        <is>
          <t>tomislav-novak</t>
        </is>
      </c>
      <c r="G2" t="inlineStr">
        <is>
          <t>per-engineer weekly average</t>
        </is>
      </c>
    </row>
    <row r="3">
      <c r="A3" t="inlineStr">
        <is>
          <t>[DORA] lead_time_for_changes</t>
        </is>
      </c>
      <c r="B3" t="inlineStr">
        <is>
          <t>GitHub PR data</t>
        </is>
      </c>
      <c r="C3" t="n">
        <v>3.7</v>
      </c>
      <c r="D3" t="inlineStr">
        <is>
          <t>2026-02-28</t>
        </is>
      </c>
      <c r="E3" t="n">
        <v>90</v>
      </c>
      <c r="F3" t="inlineStr">
        <is>
          <t>tomislav-novak</t>
        </is>
      </c>
      <c r="G3" t="inlineStr">
        <is>
          <t>PR open → merge in days (median)</t>
        </is>
      </c>
    </row>
    <row r="4">
      <c r="A4" t="inlineStr">
        <is>
          <t>[DORA] change_failure_rate</t>
        </is>
      </c>
      <c r="B4" t="inlineStr">
        <is>
          <t>Sentry + revert tags</t>
        </is>
      </c>
      <c r="C4" t="n">
        <v>0.11</v>
      </c>
      <c r="D4" t="inlineStr">
        <is>
          <t>2026-02-28</t>
        </is>
      </c>
      <c r="E4" t="n">
        <v>90</v>
      </c>
      <c r="F4" t="inlineStr">
        <is>
          <t>tomislav-novak</t>
        </is>
      </c>
      <c r="G4" t="inlineStr">
        <is>
          <t>fraction</t>
        </is>
      </c>
    </row>
    <row r="5">
      <c r="A5" t="inlineStr">
        <is>
          <t>[DORA] time_to_restore_service</t>
        </is>
      </c>
      <c r="B5" t="inlineStr">
        <is>
          <t>Incident tracker</t>
        </is>
      </c>
      <c r="C5" t="n">
        <v>4.1</v>
      </c>
      <c r="D5" t="inlineStr">
        <is>
          <t>2026-02-28</t>
        </is>
      </c>
      <c r="E5" t="n">
        <v>90</v>
      </c>
      <c r="F5" t="inlineStr">
        <is>
          <t>tomislav-novak</t>
        </is>
      </c>
      <c r="G5" t="inlineStr">
        <is>
          <t>hours (median)</t>
        </is>
      </c>
    </row>
    <row r="6">
      <c r="A6" t="inlineStr">
        <is>
          <t>[SPACE] satisfaction_score</t>
        </is>
      </c>
      <c r="B6" t="inlineStr">
        <is>
          <t>Quarterly survey</t>
        </is>
      </c>
      <c r="C6" t="n">
        <v>7.2</v>
      </c>
      <c r="D6" t="inlineStr">
        <is>
          <t>2026-02-28</t>
        </is>
      </c>
      <c r="E6" t="n">
        <v>90</v>
      </c>
      <c r="F6" t="inlineStr">
        <is>
          <t>tomislav-novak</t>
        </is>
      </c>
      <c r="G6" t="inlineStr">
        <is>
          <t>/ 10</t>
        </is>
      </c>
    </row>
    <row r="7">
      <c r="A7" t="inlineStr">
        <is>
          <t>[SPACE] performance_metric</t>
        </is>
      </c>
      <c r="B7" t="inlineStr">
        <is>
          <t>Custom domain metric</t>
        </is>
      </c>
      <c r="D7" t="inlineStr">
        <is>
          <t>2026-02-28</t>
        </is>
      </c>
      <c r="E7" t="n">
        <v>90</v>
      </c>
      <c r="F7" t="inlineStr">
        <is>
          <t>tomislav-novak</t>
        </is>
      </c>
      <c r="G7" t="inlineStr">
        <is>
          <t>domain-specific; populate per-firm</t>
        </is>
      </c>
    </row>
    <row r="8">
      <c r="A8" t="inlineStr">
        <is>
          <t>[SPACE] activity_count</t>
        </is>
      </c>
      <c r="B8" t="inlineStr">
        <is>
          <t>GitHub + Slack</t>
        </is>
      </c>
      <c r="C8" t="n">
        <v>124</v>
      </c>
      <c r="D8" t="inlineStr">
        <is>
          <t>2026-02-28</t>
        </is>
      </c>
      <c r="E8" t="n">
        <v>90</v>
      </c>
      <c r="F8" t="inlineStr">
        <is>
          <t>tomislav-novak</t>
        </is>
      </c>
      <c r="G8" t="inlineStr">
        <is>
          <t>weekly average</t>
        </is>
      </c>
    </row>
    <row r="9">
      <c r="A9" t="inlineStr">
        <is>
          <t>[SPACE] communication_quality</t>
        </is>
      </c>
      <c r="B9" t="inlineStr">
        <is>
          <t>Quarterly survey</t>
        </is>
      </c>
      <c r="C9" t="n">
        <v>7.5</v>
      </c>
      <c r="D9" t="inlineStr">
        <is>
          <t>2026-02-28</t>
        </is>
      </c>
      <c r="E9" t="n">
        <v>90</v>
      </c>
      <c r="F9" t="inlineStr">
        <is>
          <t>tomislav-novak</t>
        </is>
      </c>
      <c r="G9" t="inlineStr">
        <is>
          <t>/ 10</t>
        </is>
      </c>
    </row>
    <row r="10">
      <c r="A10" t="inlineStr">
        <is>
          <t>[SPACE] efficiency_index</t>
        </is>
      </c>
      <c r="B10" t="inlineStr">
        <is>
          <t>Computed</t>
        </is>
      </c>
      <c r="C10" t="n">
        <v>0.71</v>
      </c>
      <c r="D10" t="inlineStr">
        <is>
          <t>2026-02-28</t>
        </is>
      </c>
      <c r="E10" t="n">
        <v>90</v>
      </c>
      <c r="F10" t="inlineStr">
        <is>
          <t>tomislav-novak</t>
        </is>
      </c>
      <c r="G10" t="inlineStr">
        <is>
          <t>0-1</t>
        </is>
      </c>
    </row>
    <row r="11">
      <c r="A11" t="inlineStr">
        <is>
          <t>[DX Core 4] deep_work_hours</t>
        </is>
      </c>
      <c r="B11" t="inlineStr">
        <is>
          <t>Calendar analysis</t>
        </is>
      </c>
      <c r="C11" t="n">
        <v>14.3</v>
      </c>
      <c r="D11" t="inlineStr">
        <is>
          <t>2026-02-28</t>
        </is>
      </c>
      <c r="E11" t="n">
        <v>90</v>
      </c>
      <c r="F11" t="inlineStr">
        <is>
          <t>tomislav-novak</t>
        </is>
      </c>
      <c r="G11" t="inlineStr">
        <is>
          <t>weekly per partner</t>
        </is>
      </c>
    </row>
    <row r="12">
      <c r="A12" t="inlineStr">
        <is>
          <t>[DX Core 4] cycle_time</t>
        </is>
      </c>
      <c r="B12" t="inlineStr">
        <is>
          <t>Linear/Jira</t>
        </is>
      </c>
      <c r="C12" t="n">
        <v>5.2</v>
      </c>
      <c r="D12" t="inlineStr">
        <is>
          <t>2026-02-28</t>
        </is>
      </c>
      <c r="E12" t="n">
        <v>90</v>
      </c>
      <c r="F12" t="inlineStr">
        <is>
          <t>tomislav-novak</t>
        </is>
      </c>
      <c r="G12" t="inlineStr">
        <is>
          <t>days (median)</t>
        </is>
      </c>
    </row>
    <row r="13">
      <c r="A13" t="inlineStr">
        <is>
          <t>[DX Core 4] dx_score</t>
        </is>
      </c>
      <c r="B13" t="inlineStr">
        <is>
          <t>Quarterly survey</t>
        </is>
      </c>
      <c r="C13" t="n">
        <v>6.8</v>
      </c>
      <c r="D13" t="inlineStr">
        <is>
          <t>2026-02-28</t>
        </is>
      </c>
      <c r="E13" t="n">
        <v>90</v>
      </c>
      <c r="F13" t="inlineStr">
        <is>
          <t>tomislav-novak</t>
        </is>
      </c>
      <c r="G13" t="inlineStr">
        <is>
          <t>/ 10</t>
        </is>
      </c>
    </row>
    <row r="14">
      <c r="A14" t="inlineStr">
        <is>
          <t>[DX Core 4] ai_assist_uptake</t>
        </is>
      </c>
      <c r="B14" t="inlineStr">
        <is>
          <t>Self-report weekly</t>
        </is>
      </c>
      <c r="C14" t="n">
        <v>0.18</v>
      </c>
      <c r="D14" t="inlineStr">
        <is>
          <t>2026-02-28</t>
        </is>
      </c>
      <c r="E14" t="n">
        <v>90</v>
      </c>
      <c r="F14" t="inlineStr">
        <is>
          <t>tomislav-novak</t>
        </is>
      </c>
      <c r="G14" t="inlineStr">
        <is>
          <t>fraction of commits AI-assisted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2" customWidth="1" min="5" max="5"/>
    <col width="18" customWidth="1" min="6" max="6"/>
    <col width="80" customWidth="1" min="7" max="7"/>
  </cols>
  <sheetData>
    <row r="1">
      <c r="A1" s="1" t="inlineStr">
        <is>
          <t>partner_id</t>
        </is>
      </c>
      <c r="B1" s="1" t="inlineStr">
        <is>
          <t>period</t>
        </is>
      </c>
      <c r="C1" s="1" t="inlineStr">
        <is>
          <t>self_reported_productivity</t>
        </is>
      </c>
      <c r="D1" s="1" t="inlineStr">
        <is>
          <t>measured_productivity</t>
        </is>
      </c>
      <c r="E1" s="1" t="inlineStr">
        <is>
          <t>gap</t>
        </is>
      </c>
      <c r="F1" s="1" t="inlineStr">
        <is>
          <t>gap_flag</t>
        </is>
      </c>
      <c r="G1" s="1" t="inlineStr">
        <is>
          <t>Threshold provenance</t>
        </is>
      </c>
    </row>
    <row r="2">
      <c r="A2" t="inlineStr">
        <is>
          <t>[SAMPLE]davor-krznar</t>
        </is>
      </c>
      <c r="B2" t="inlineStr">
        <is>
          <t>week-4-rollout</t>
        </is>
      </c>
      <c r="C2" t="n">
        <v>-5</v>
      </c>
      <c r="D2" t="n">
        <v>5</v>
      </c>
      <c r="E2">
        <f>C2-D2</f>
        <v/>
      </c>
      <c r="F2">
        <f>IF(ABS(E2)&gt;20,"PERCEPTION_GAP","OK")</f>
        <v/>
      </c>
      <c r="G2" t="inlineStr">
        <is>
          <t>20-point threshold ≈ half the 39-point swing observed in METR (2025) "RCT on AI tools and developer productivity". Tighten to 15 once your firm has 90 days of internal baseline data.</t>
        </is>
      </c>
    </row>
    <row r="3">
      <c r="A3" t="inlineStr">
        <is>
          <t>[SAMPLE]mira-tek</t>
        </is>
      </c>
      <c r="B3" t="inlineStr">
        <is>
          <t>week-4-rollout</t>
        </is>
      </c>
      <c r="C3" t="n">
        <v>30</v>
      </c>
      <c r="D3" t="n">
        <v>12</v>
      </c>
      <c r="E3">
        <f>C3-D3</f>
        <v/>
      </c>
      <c r="F3">
        <f>IF(ABS(E3)&gt;20,"PERCEPTION_GAP","OK")</f>
        <v/>
      </c>
    </row>
    <row r="4">
      <c r="A4" t="inlineStr">
        <is>
          <t>[SAMPLE]jana-kos</t>
        </is>
      </c>
      <c r="B4" t="inlineStr">
        <is>
          <t>week-4-rollout</t>
        </is>
      </c>
      <c r="C4" t="n">
        <v>10</v>
      </c>
      <c r="D4" t="n">
        <v>8</v>
      </c>
      <c r="E4">
        <f>C4-D4</f>
        <v/>
      </c>
      <c r="F4">
        <f>IF(ABS(E4)&gt;20,"PERCEPTION_GAP","OK")</f>
        <v/>
      </c>
    </row>
    <row r="5">
      <c r="A5" t="inlineStr">
        <is>
          <t>[SAMPLE]mira-tek</t>
        </is>
      </c>
      <c r="B5" t="inlineStr">
        <is>
          <t>week-6-rollout</t>
        </is>
      </c>
      <c r="C5" t="n">
        <v>35</v>
      </c>
      <c r="D5" t="n">
        <v>14</v>
      </c>
      <c r="E5">
        <f>C5-D5</f>
        <v/>
      </c>
      <c r="F5">
        <f>IF(ABS(E5)&gt;20,"PERCEPTION_GAP","OK")</f>
        <v/>
      </c>
    </row>
  </sheetData>
  <conditionalFormatting sqref="F2:F1000">
    <cfRule type="cellIs" priority="1" operator="equal" dxfId="0">
      <formula>"PERCEPTION_GAP"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cohort_id</t>
        </is>
      </c>
      <c r="B1" s="1" t="inlineStr">
        <is>
          <t>partner_id</t>
        </is>
      </c>
      <c r="C1" s="1" t="inlineStr">
        <is>
          <t>inclusion_criteria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role</t>
        </is>
      </c>
    </row>
    <row r="2">
      <c r="A2" t="inlineStr">
        <is>
          <t>[SAMPLE]code-qa-2026-q1</t>
        </is>
      </c>
      <c r="B2" t="inlineStr">
        <is>
          <t>davor-krznar</t>
        </is>
      </c>
      <c r="C2" t="inlineStr">
        <is>
          <t>vibe-coder cohort; sceptical; 90-day baseline complete</t>
        </is>
      </c>
      <c r="D2" t="inlineStr">
        <is>
          <t>2026-03-01</t>
        </is>
      </c>
      <c r="E2" t="inlineStr">
        <is>
          <t>2026-04-26</t>
        </is>
      </c>
      <c r="F2" t="inlineStr">
        <is>
          <t>participant</t>
        </is>
      </c>
    </row>
    <row r="3">
      <c r="A3" t="inlineStr">
        <is>
          <t>[SAMPLE]code-qa-2026-q1</t>
        </is>
      </c>
      <c r="B3" t="inlineStr">
        <is>
          <t>mira-tek</t>
        </is>
      </c>
      <c r="C3" t="inlineStr">
        <is>
          <t>agentic-engineer; enthusiastic; 90-day baseline complete</t>
        </is>
      </c>
      <c r="D3" t="inlineStr">
        <is>
          <t>2026-03-01</t>
        </is>
      </c>
      <c r="E3" t="inlineStr">
        <is>
          <t>2026-04-26</t>
        </is>
      </c>
      <c r="F3" t="inlineStr">
        <is>
          <t>participant</t>
        </is>
      </c>
    </row>
    <row r="4">
      <c r="A4" t="inlineStr">
        <is>
          <t>[SAMPLE]code-qa-2026-q1</t>
        </is>
      </c>
      <c r="B4" t="inlineStr">
        <is>
          <t>jana-kos</t>
        </is>
      </c>
      <c r="C4" t="inlineStr">
        <is>
          <t>transitional cohort; curious; 90-day baseline complete</t>
        </is>
      </c>
      <c r="D4" t="inlineStr">
        <is>
          <t>2026-03-01</t>
        </is>
      </c>
      <c r="E4" t="inlineStr">
        <is>
          <t>2026-04-26</t>
        </is>
      </c>
      <c r="F4" t="inlineStr">
        <is>
          <t>participant</t>
        </is>
      </c>
    </row>
    <row r="5">
      <c r="A5" t="inlineStr">
        <is>
          <t>[SAMPLE]code-qa-2026-q1</t>
        </is>
      </c>
      <c r="B5" t="inlineStr">
        <is>
          <t>tomislav-novak</t>
        </is>
      </c>
      <c r="C5" t="inlineStr">
        <is>
          <t>control; per-partner agreement; continues without Claude Code</t>
        </is>
      </c>
      <c r="D5" t="inlineStr">
        <is>
          <t>2026-03-01</t>
        </is>
      </c>
      <c r="E5" t="inlineStr">
        <is>
          <t>2026-04-26</t>
        </is>
      </c>
      <c r="F5" t="inlineStr">
        <is>
          <t>control</t>
        </is>
      </c>
    </row>
  </sheetData>
  <dataValidations count="1">
    <dataValidation sqref="F2:F1000" showDropDown="0" showInputMessage="0" showErrorMessage="0" allowBlank="0" type="list">
      <formula1>"participant,control,champion-candidate"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active_users_pct</t>
        </is>
      </c>
      <c r="C1" s="1" t="inlineStr">
        <is>
          <t>completion_rate</t>
        </is>
      </c>
      <c r="D1" s="1" t="inlineStr">
        <is>
          <t>satisfaction_score</t>
        </is>
      </c>
    </row>
    <row r="2">
      <c r="A2" t="n">
        <v>1</v>
      </c>
      <c r="B2" t="n">
        <v>0.75</v>
      </c>
      <c r="C2" t="n">
        <v>0.6</v>
      </c>
      <c r="D2" t="n">
        <v>6.5</v>
      </c>
    </row>
    <row r="3">
      <c r="A3" t="n">
        <v>2</v>
      </c>
      <c r="B3" t="n">
        <v>0.8</v>
      </c>
      <c r="C3" t="n">
        <v>0.7</v>
      </c>
      <c r="D3" t="n">
        <v>6.8</v>
      </c>
    </row>
    <row r="4">
      <c r="A4" t="n">
        <v>3</v>
      </c>
      <c r="B4" t="n">
        <v>0.85</v>
      </c>
      <c r="C4" t="n">
        <v>0.78</v>
      </c>
      <c r="D4" t="n">
        <v>7</v>
      </c>
    </row>
    <row r="5">
      <c r="A5" t="n">
        <v>4</v>
      </c>
      <c r="B5" t="n">
        <v>0.9</v>
      </c>
      <c r="C5" t="n">
        <v>0.82</v>
      </c>
      <c r="D5" t="n">
        <v>7.1</v>
      </c>
    </row>
    <row r="6">
      <c r="A6" t="n">
        <v>5</v>
      </c>
      <c r="B6" t="n">
        <v>0.92</v>
      </c>
      <c r="C6" t="n">
        <v>0.85</v>
      </c>
      <c r="D6" t="n">
        <v>7.3</v>
      </c>
    </row>
    <row r="7">
      <c r="A7" t="n">
        <v>6</v>
      </c>
      <c r="B7" t="n">
        <v>0.93</v>
      </c>
      <c r="C7" t="n">
        <v>0.88</v>
      </c>
      <c r="D7" t="n">
        <v>7.4</v>
      </c>
    </row>
    <row r="8">
      <c r="A8" t="n">
        <v>7</v>
      </c>
      <c r="B8" t="n">
        <v>0.95</v>
      </c>
      <c r="C8" t="n">
        <v>0.9</v>
      </c>
      <c r="D8" t="n">
        <v>7.4</v>
      </c>
    </row>
    <row r="9">
      <c r="A9" t="n">
        <v>8</v>
      </c>
      <c r="B9" t="n">
        <v>0.95</v>
      </c>
      <c r="C9" t="n">
        <v>0.92</v>
      </c>
      <c r="D9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metr-baseline.xlsx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Pre-rollout productivity baseline. MANDATORY before any major Skill Pack rollout per Skill Pack S6.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The pilot owner (typically the S6-running partner) at baseline capture (90 days pre-pilot).</t>
        </is>
      </c>
    </row>
    <row r="8">
      <c r="A8" t="inlineStr">
        <is>
          <t>- Weekly during the pilot (Self_Report_vs_Actual + Adoption_Curve).</t>
        </is>
      </c>
    </row>
    <row r="9">
      <c r="A9" t="inlineStr"/>
    </row>
    <row r="10">
      <c r="A10" t="inlineStr">
        <is>
          <t>READ BY</t>
        </is>
      </c>
    </row>
    <row r="11">
      <c r="A11" t="inlineStr">
        <is>
          <t>- Skill Pack S6 (Change Management).</t>
        </is>
      </c>
    </row>
    <row r="12">
      <c r="A12" t="inlineStr">
        <is>
          <t>- Routine R2 — surfaces perception-gap flags at Friday BR.</t>
        </is>
      </c>
    </row>
    <row r="13">
      <c r="A13" t="inlineStr"/>
    </row>
    <row r="14">
      <c r="A14" t="inlineStr">
        <is>
          <t>DESIGN DECISION — perception-gap threshold is 20 points</t>
        </is>
      </c>
    </row>
    <row r="15">
      <c r="A15" t="inlineStr">
        <is>
          <t>The threshold is roughly half the 39-point swing observed in METR (2025) "RCT on AI tools and developer productivity". Tighten to 15 once your firm has 90 days of internal baseline data.</t>
        </is>
      </c>
    </row>
    <row r="16">
      <c r="A16" t="inlineStr"/>
    </row>
    <row r="17">
      <c r="A17" t="inlineStr">
        <is>
          <t>DO NOT</t>
        </is>
      </c>
    </row>
    <row r="18">
      <c r="A18" t="inlineStr">
        <is>
          <t>- Roll out without a 90-day baseline. Mandatory per Skill Pack S6 §4.1 — no exceptions.</t>
        </is>
      </c>
    </row>
    <row r="19">
      <c r="A19" t="inlineStr">
        <is>
          <t>- Reconstruct a baseline from memory after-the-fact. The pack flags this as a discipline failure.</t>
        </is>
      </c>
    </row>
    <row r="20">
      <c r="A20" t="inlineStr">
        <is>
          <t>- Confront a perception gap directly. Surface the data; let the partner adjust (per S6 §4.6).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2026-07-04T12:23:19Z</dcterms:created>
  <dcterms:modified xsi:type="dcterms:W3CDTF">2026-07-04T12:23:19Z</dcterms:modified>
</cp:coreProperties>
</file>