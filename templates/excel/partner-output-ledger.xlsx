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Log" sheetId="1" state="visible" r:id="rId1"/>
    <sheet name="Monthly_Variable" sheetId="2" state="visible" r:id="rId2"/>
    <sheet name="Partner_Dashboard" sheetId="3" state="visible" r:id="rId3"/>
    <sheet name="Partner_Multipliers_Snapshot" sheetId="4" state="visible" r:id="rId4"/>
    <sheet name="_metadata" sheetId="5" state="hidden" r:id="rId5"/>
    <sheet name="README" sheetId="6" state="visible" r:id="rId6"/>
  </sheets>
  <definedNames>
    <definedName name="output_log">Output_Log!$A:$M</definedName>
    <definedName name="value_envelope_table">Output_Log!$O$1:$P$5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24" customWidth="1" min="5" max="5"/>
    <col width="40" customWidth="1" min="6" max="6"/>
    <col width="10" customWidth="1" min="7" max="7"/>
    <col width="14" customWidth="1" min="8" max="8"/>
    <col width="16" customWidth="1" min="9" max="9"/>
    <col width="12" customWidth="1" min="10" max="10"/>
    <col width="12" customWidth="1" min="11" max="11"/>
    <col width="16" customWidth="1" min="12" max="12"/>
    <col width="30" customWidth="1" min="13" max="13"/>
    <col width="12" customWidth="1" min="15" max="15"/>
    <col width="14" customWidth="1" min="16" max="16"/>
  </cols>
  <sheetData>
    <row r="1">
      <c r="A1" s="1" t="inlineStr">
        <is>
          <t>log_id</t>
        </is>
      </c>
      <c r="B1" s="1" t="inlineStr">
        <is>
          <t>date</t>
        </is>
      </c>
      <c r="C1" s="1" t="inlineStr">
        <is>
          <t>partner_id</t>
        </is>
      </c>
      <c r="D1" s="1" t="inlineStr">
        <is>
          <t>output_type</t>
        </is>
      </c>
      <c r="E1" s="1" t="inlineStr">
        <is>
          <t>output_ref</t>
        </is>
      </c>
      <c r="F1" s="1" t="inlineStr">
        <is>
          <t>output_spec_ref</t>
        </is>
      </c>
      <c r="G1" s="1" t="inlineStr">
        <is>
          <t>value_tier</t>
        </is>
      </c>
      <c r="H1" s="1" t="inlineStr">
        <is>
          <t>ai_authored_pct</t>
        </is>
      </c>
      <c r="I1" s="1" t="inlineStr">
        <is>
          <t>rework_within_30d</t>
        </is>
      </c>
      <c r="J1" s="1" t="inlineStr">
        <is>
          <t>partner_multiplier</t>
        </is>
      </c>
      <c r="K1" s="1" t="inlineStr">
        <is>
          <t>value_envelope</t>
        </is>
      </c>
      <c r="L1" s="1" t="inlineStr">
        <is>
          <t>computed_variable</t>
        </is>
      </c>
      <c r="M1" s="1" t="inlineStr">
        <is>
          <t>notes</t>
        </is>
      </c>
      <c r="O1" s="1" t="inlineStr">
        <is>
          <t>value_tier</t>
        </is>
      </c>
      <c r="P1" s="1" t="inlineStr">
        <is>
          <t>base_envelope</t>
        </is>
      </c>
    </row>
    <row r="2">
      <c r="A2" t="inlineStr">
        <is>
          <t>OL-20260301-001</t>
        </is>
      </c>
      <c r="B2" t="inlineStr">
        <is>
          <t>2026-03-01</t>
        </is>
      </c>
      <c r="C2" t="inlineStr">
        <is>
          <t>[SAMPLE]mira-tek</t>
        </is>
      </c>
      <c r="D2" t="inlineStr">
        <is>
          <t>pr_merged</t>
        </is>
      </c>
      <c r="E2" t="inlineStr">
        <is>
          <t>gh:1100</t>
        </is>
      </c>
      <c r="F2" t="inlineStr">
        <is>
          <t>[[partners/mira-tek/output-specs/2026-02-25--login-flow]]</t>
        </is>
      </c>
      <c r="G2" t="inlineStr">
        <is>
          <t>M</t>
        </is>
      </c>
      <c r="H2" t="n">
        <v>30</v>
      </c>
      <c r="I2" t="inlineStr">
        <is>
          <t>No</t>
        </is>
      </c>
      <c r="J2" t="n">
        <v>1</v>
      </c>
      <c r="K2">
        <f>VLOOKUP(G2,$O$2:$P$5,2,FALSE)</f>
        <v/>
      </c>
      <c r="L2">
        <f>K2*J2*IF(I2="Yes",0,1)</f>
        <v/>
      </c>
      <c r="M2" t="inlineStr">
        <is>
          <t>Initial sample data</t>
        </is>
      </c>
      <c r="O2" t="inlineStr">
        <is>
          <t>XS</t>
        </is>
      </c>
      <c r="P2" t="n">
        <v>100</v>
      </c>
    </row>
    <row r="3">
      <c r="A3" t="inlineStr">
        <is>
          <t>OL-20260302-001</t>
        </is>
      </c>
      <c r="B3" t="inlineStr">
        <is>
          <t>2026-03-02</t>
        </is>
      </c>
      <c r="C3" t="inlineStr">
        <is>
          <t>[SAMPLE]davor-krznar</t>
        </is>
      </c>
      <c r="D3" t="inlineStr">
        <is>
          <t>review_completed</t>
        </is>
      </c>
      <c r="E3" t="inlineStr">
        <is>
          <t>gh:1108</t>
        </is>
      </c>
      <c r="F3" t="inlineStr">
        <is>
          <t>[[partners/davor-krznar/output-specs/2026-02-28--code-review-cohort]]</t>
        </is>
      </c>
      <c r="G3" t="inlineStr">
        <is>
          <t>L</t>
        </is>
      </c>
      <c r="H3" t="n">
        <v>0</v>
      </c>
      <c r="I3" t="inlineStr">
        <is>
          <t>No</t>
        </is>
      </c>
      <c r="J3" t="n">
        <v>1</v>
      </c>
      <c r="K3">
        <f>VLOOKUP(G3,$O$2:$P$5,2,FALSE)</f>
        <v/>
      </c>
      <c r="L3">
        <f>K3*J3*IF(I3="Yes",0,1)</f>
        <v/>
      </c>
      <c r="M3" t="inlineStr"/>
      <c r="O3" t="inlineStr">
        <is>
          <t>L</t>
        </is>
      </c>
      <c r="P3" t="n">
        <v>500</v>
      </c>
    </row>
    <row r="4">
      <c r="A4" t="inlineStr">
        <is>
          <t>OL-20260303-001</t>
        </is>
      </c>
      <c r="B4" t="inlineStr">
        <is>
          <t>2026-03-03</t>
        </is>
      </c>
      <c r="C4" t="inlineStr">
        <is>
          <t>[SAMPLE]anya-gorska</t>
        </is>
      </c>
      <c r="D4" t="inlineStr">
        <is>
          <t>deal_closed</t>
        </is>
      </c>
      <c r="E4" t="inlineStr">
        <is>
          <t>Acme Corp Q1</t>
        </is>
      </c>
      <c r="F4" t="inlineStr">
        <is>
          <t>[[partners/anya-gorska/output-specs/2026-02-15--acme-deal]]</t>
        </is>
      </c>
      <c r="G4" t="inlineStr">
        <is>
          <t>S</t>
        </is>
      </c>
      <c r="H4" t="n">
        <v>0</v>
      </c>
      <c r="I4" t="inlineStr">
        <is>
          <t>No</t>
        </is>
      </c>
      <c r="J4" t="n">
        <v>1</v>
      </c>
      <c r="K4">
        <f>VLOOKUP(G4,$O$2:$P$5,2,FALSE)</f>
        <v/>
      </c>
      <c r="L4">
        <f>K4*J4*IF(I4="Yes",0,1)</f>
        <v/>
      </c>
      <c r="M4" t="inlineStr">
        <is>
          <t>First closed deal</t>
        </is>
      </c>
      <c r="O4" t="inlineStr">
        <is>
          <t>M</t>
        </is>
      </c>
      <c r="P4" t="n">
        <v>2000</v>
      </c>
    </row>
    <row r="5">
      <c r="O5" t="inlineStr">
        <is>
          <t>S</t>
        </is>
      </c>
      <c r="P5" t="n">
        <v>8000</v>
      </c>
    </row>
  </sheetData>
  <conditionalFormatting sqref="I2:I1000">
    <cfRule type="cellIs" priority="1" operator="equal" dxfId="0">
      <formula>"Yes"</formula>
    </cfRule>
  </conditionalFormatting>
  <conditionalFormatting sqref="L2:L1000">
    <cfRule type="colorScale" priority="2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2" customWidth="1" min="5" max="5"/>
    <col width="18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partner_id</t>
        </is>
      </c>
      <c r="C1" s="1" t="inlineStr">
        <is>
          <t>total_outputs</t>
        </is>
      </c>
      <c r="D1" s="1" t="inlineStr">
        <is>
          <t>total_variable</t>
        </is>
      </c>
      <c r="E1" s="1" t="inlineStr">
        <is>
          <t>base_pay</t>
        </is>
      </c>
      <c r="F1" s="1" t="inlineStr">
        <is>
          <t>total_compensation</t>
        </is>
      </c>
      <c r="G1" s="1" t="inlineStr">
        <is>
          <t>sign_off_status</t>
        </is>
      </c>
      <c r="H1" s="1" t="inlineStr">
        <is>
          <t>approval_date</t>
        </is>
      </c>
      <c r="I1" s="1" t="inlineStr">
        <is>
          <t>payment_date</t>
        </is>
      </c>
    </row>
    <row r="2">
      <c r="A2" t="inlineStr">
        <is>
          <t>2026-03</t>
        </is>
      </c>
      <c r="B2" t="inlineStr">
        <is>
          <t>[SAMPLE]mira-tek</t>
        </is>
      </c>
      <c r="C2" t="n">
        <v>4</v>
      </c>
      <c r="D2" t="n">
        <v>3100</v>
      </c>
      <c r="E2" t="n">
        <v>1371</v>
      </c>
      <c r="F2">
        <f>D2+E2</f>
        <v/>
      </c>
      <c r="G2" t="inlineStr">
        <is>
          <t>draft</t>
        </is>
      </c>
    </row>
  </sheetData>
  <dataValidations count="1">
    <dataValidation sqref="G2:G1000" showDropDown="0" showInputMessage="0" showErrorMessage="0" allowBlank="1" type="list">
      <formula1>"draft,partner_reviewed,partner_disputed,partner_unresponsive,founder_approved,paid"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24" customWidth="1" min="5" max="5"/>
  </cols>
  <sheetData>
    <row r="1">
      <c r="A1" s="1" t="inlineStr">
        <is>
          <t>partner_id</t>
        </is>
      </c>
      <c r="B1" s="1" t="inlineStr">
        <is>
          <t>rolling_30d_outputs</t>
        </is>
      </c>
      <c r="C1" s="1" t="inlineStr">
        <is>
          <t>rolling_30d_variable</t>
        </is>
      </c>
      <c r="D1" s="1" t="inlineStr">
        <is>
          <t>ytd_variable</t>
        </is>
      </c>
      <c r="E1" s="1" t="inlineStr">
        <is>
          <t>current_month_forecast</t>
        </is>
      </c>
    </row>
    <row r="2">
      <c r="A2" t="inlineStr">
        <is>
          <t>[SAMPLE]mira-tek</t>
        </is>
      </c>
      <c r="B2" t="n">
        <v>4</v>
      </c>
      <c r="C2" t="n">
        <v>3100</v>
      </c>
      <c r="D2" t="n">
        <v>3100</v>
      </c>
      <c r="E2" t="n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partner_id</t>
        </is>
      </c>
      <c r="B1" s="1" t="inlineStr">
        <is>
          <t>full_name</t>
        </is>
      </c>
      <c r="C1" s="1" t="inlineStr">
        <is>
          <t>base_amount</t>
        </is>
      </c>
      <c r="D1" s="1" t="inlineStr">
        <is>
          <t>output_multiplier</t>
        </is>
      </c>
      <c r="E1" s="1" t="inlineStr">
        <is>
          <t>reward_species</t>
        </is>
      </c>
      <c r="F1" s="1" t="inlineStr">
        <is>
          <t>snapshot_date</t>
        </is>
      </c>
    </row>
    <row r="2">
      <c r="A2" t="inlineStr">
        <is>
          <t>[SAMPLE]mira-tek</t>
        </is>
      </c>
      <c r="B2" t="inlineStr">
        <is>
          <t>Mira Tek</t>
        </is>
      </c>
      <c r="C2" t="n">
        <v>30000</v>
      </c>
      <c r="D2" t="n">
        <v>1</v>
      </c>
      <c r="E2" t="inlineStr">
        <is>
          <t>hybrid</t>
        </is>
      </c>
      <c r="F2" t="inlineStr">
        <is>
          <t>2026-03-01</t>
        </is>
      </c>
    </row>
    <row r="3">
      <c r="A3" t="inlineStr">
        <is>
          <t>[SAMPLE]davor-krznar</t>
        </is>
      </c>
      <c r="B3" t="inlineStr">
        <is>
          <t>Davor Krznar</t>
        </is>
      </c>
      <c r="C3" t="n">
        <v>30000</v>
      </c>
      <c r="D3" t="n">
        <v>1</v>
      </c>
      <c r="E3" t="inlineStr">
        <is>
          <t>eat-what-you-kill</t>
        </is>
      </c>
      <c r="F3" t="inlineStr">
        <is>
          <t>2026-03-01</t>
        </is>
      </c>
    </row>
    <row r="4">
      <c r="A4" t="inlineStr">
        <is>
          <t>[SAMPLE]anya-gorska</t>
        </is>
      </c>
      <c r="B4" t="inlineStr">
        <is>
          <t>Anya Gorska</t>
        </is>
      </c>
      <c r="C4" t="n">
        <v>24000</v>
      </c>
      <c r="D4" t="n">
        <v>1</v>
      </c>
      <c r="E4" t="inlineStr">
        <is>
          <t>hybrid</t>
        </is>
      </c>
      <c r="F4" t="inlineStr">
        <is>
          <t>2026-03-01</t>
        </is>
      </c>
    </row>
  </sheetData>
  <conditionalFormatting sqref="F2:F1000">
    <cfRule type="expression" priority="1" dxfId="0">
      <formula>AND(F2&lt;&gt;"",TODAY()-F2&gt;35)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partner-output-ledger.xlsx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Records daily output per partner. Source of truth for monthly variable pay (Routine R3) and weekly Business Review agenda (Routine R2).</t>
        </is>
      </c>
    </row>
    <row r="5">
      <c r="A5" t="inlineStr"/>
    </row>
    <row r="6">
      <c r="A6" t="inlineStr">
        <is>
          <t>WRITTEN BY</t>
        </is>
      </c>
    </row>
    <row r="7">
      <c r="A7" t="inlineStr">
        <is>
          <t>- Routine R1 (Daily Output Capture, daily 18:00) — appends rows to Output_Log.</t>
        </is>
      </c>
    </row>
    <row r="8">
      <c r="A8" t="inlineStr"/>
    </row>
    <row r="9">
      <c r="A9" t="inlineStr">
        <is>
          <t>READ BY</t>
        </is>
      </c>
    </row>
    <row r="10">
      <c r="A10" t="inlineStr">
        <is>
          <t>- Routine R2 (Weekly BR Prep) — surfaces notable outputs, blockers, KPI movements.</t>
        </is>
      </c>
    </row>
    <row r="11">
      <c r="A11" t="inlineStr">
        <is>
          <t>- Routine R3 (Monthly Variable Calc) — locks previous month's Output_Log; populates Monthly_Variable.</t>
        </is>
      </c>
    </row>
    <row r="12">
      <c r="A12" t="inlineStr">
        <is>
          <t>- Routine R4 (Quarterly Long-Tail Settlement) — references Output_Log for outputs eligible for long-tail entitlements.</t>
        </is>
      </c>
    </row>
    <row r="13">
      <c r="A13" t="inlineStr"/>
    </row>
    <row r="14">
      <c r="A14" t="inlineStr">
        <is>
          <t>REVIEWED BY</t>
        </is>
      </c>
    </row>
    <row r="15">
      <c r="A15" t="inlineStr">
        <is>
          <t>- Each partner: monthly, before Variable sign-off.</t>
        </is>
      </c>
    </row>
    <row r="16">
      <c r="A16" t="inlineStr">
        <is>
          <t>- Founder: monthly, for Variable approval.</t>
        </is>
      </c>
    </row>
    <row r="17">
      <c r="A17" t="inlineStr">
        <is>
          <t>- Friday Business Review: weekly, in the standing agenda.</t>
        </is>
      </c>
    </row>
    <row r="18">
      <c r="A18" t="inlineStr"/>
    </row>
    <row r="19">
      <c r="A19" t="inlineStr">
        <is>
          <t>DESIGN DECISION — column J (partner_multiplier) is NOT a formula</t>
        </is>
      </c>
    </row>
    <row r="20">
      <c r="A20" t="inlineStr">
        <is>
          <t>The X1.J value is written by R1 at row-append time. R1 reads X2's output_multiplier at runtime and writes the resolved number. This avoids the unreliable cross-workbook formula pattern in openpyxl. The Partner_Multipliers_Snapshot sheet is a read-only mirror refreshed monthly by R3 — it is not consumed by any formula.</t>
        </is>
      </c>
    </row>
    <row r="21">
      <c r="A21" t="inlineStr"/>
    </row>
    <row r="22">
      <c r="A22" t="inlineStr">
        <is>
          <t>DESIGN DECISION — AI-authored output is paid at full rate at month-1</t>
        </is>
      </c>
    </row>
    <row r="23">
      <c r="A23" t="inlineStr">
        <is>
          <t>The L column formula does NOT discount by ai_authored_pct. The framework's correction discipline is the rework-within-30d zero-out. AI-assisted output requiring rework "was not actually output, it was just typing."</t>
        </is>
      </c>
    </row>
    <row r="24">
      <c r="A24" t="inlineStr"/>
    </row>
    <row r="25">
      <c r="A25" t="inlineStr">
        <is>
          <t>DO NOT</t>
        </is>
      </c>
    </row>
    <row r="26">
      <c r="A26" t="inlineStr">
        <is>
          <t>- Edit Output_Log rows that have been included in a paid Monthly_Variable. Use the renegotiation flow per Skill Pack S3.</t>
        </is>
      </c>
    </row>
    <row r="27">
      <c r="A27" t="inlineStr">
        <is>
          <t>- Bypass the rework_within_30d field. The YOLO model's correction discipline depends on it.</t>
        </is>
      </c>
    </row>
    <row r="28">
      <c r="A28" t="inlineStr">
        <is>
          <t>- Aggregate values in ways that obscure individual partner attribution.</t>
        </is>
      </c>
    </row>
    <row r="29">
      <c r="A29" t="inlineStr">
        <is>
          <t>- Modify column J via formula — the cross-workbook discipline requires Routine writes.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2026-07-04T06:12:14Z</dcterms:created>
  <dcterms:modified xsi:type="dcterms:W3CDTF">2026-07-04T06:12:14Z</dcterms:modified>
</cp:coreProperties>
</file>