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Costs" sheetId="1" state="visible" r:id="rId1"/>
    <sheet name="Skill_Outputs" sheetId="2" state="visible" r:id="rId2"/>
    <sheet name="Human_Agent_Ratio" sheetId="3" state="visible" r:id="rId3"/>
    <sheet name="ROI_Calc" sheetId="4" state="visible" r:id="rId4"/>
    <sheet name="_metadata" sheetId="5" state="hidden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agent_or_skill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api_calls</t>
        </is>
      </c>
      <c r="F1" s="1" t="inlineStr">
        <is>
          <t>cost_usd</t>
        </is>
      </c>
      <c r="G1" s="1" t="inlineStr">
        <is>
          <t>use_case</t>
        </is>
      </c>
    </row>
    <row r="2">
      <c r="A2" t="inlineStr">
        <is>
          <t>2026-04-15</t>
        </is>
      </c>
      <c r="B2" t="inlineStr">
        <is>
          <t>claude-sonnet (compensation-attribution)</t>
        </is>
      </c>
      <c r="C2" t="n">
        <v>12500</v>
      </c>
      <c r="D2" t="n">
        <v>3200</v>
      </c>
      <c r="E2" t="n">
        <v>8</v>
      </c>
      <c r="F2" t="n">
        <v>0.42</v>
      </c>
      <c r="G2" t="inlineStr">
        <is>
          <t>R3 monthly variable</t>
        </is>
      </c>
    </row>
    <row r="3">
      <c r="A3" t="inlineStr">
        <is>
          <t>2026-04-15</t>
        </is>
      </c>
      <c r="B3" t="inlineStr">
        <is>
          <t>claude-opus (klarna-test scoring)</t>
        </is>
      </c>
      <c r="C3" t="n">
        <v>8200</v>
      </c>
      <c r="D3" t="n">
        <v>1800</v>
      </c>
      <c r="E3" t="n">
        <v>3</v>
      </c>
      <c r="F3" t="n">
        <v>0.8100000000000001</v>
      </c>
      <c r="G3" t="inlineStr">
        <is>
          <t>R7 KT-2026-014</t>
        </is>
      </c>
    </row>
    <row r="4">
      <c r="A4" t="inlineStr">
        <is>
          <t>2026-04-15</t>
        </is>
      </c>
      <c r="B4" t="inlineStr">
        <is>
          <t>gemini-flash-lite (curator ingest)</t>
        </is>
      </c>
      <c r="C4" t="n">
        <v>45000</v>
      </c>
      <c r="D4" t="n">
        <v>200</v>
      </c>
      <c r="E4" t="n">
        <v>12</v>
      </c>
      <c r="F4" t="n">
        <v>0.04</v>
      </c>
      <c r="G4" t="inlineStr">
        <is>
          <t>S1 daily Brain ingest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skill_pack</t>
        </is>
      </c>
      <c r="C1" s="1" t="inlineStr">
        <is>
          <t>outputs_count</t>
        </is>
      </c>
      <c r="D1" s="1" t="inlineStr">
        <is>
          <t>hours_saved_estimated</t>
        </is>
      </c>
      <c r="E1" s="1" t="inlineStr">
        <is>
          <t>partner_value_uplift</t>
        </is>
      </c>
    </row>
    <row r="2">
      <c r="A2" t="inlineStr">
        <is>
          <t>2026-04-15</t>
        </is>
      </c>
      <c r="B2" t="inlineStr">
        <is>
          <t>S3 compensation-attribution</t>
        </is>
      </c>
      <c r="C2" t="n">
        <v>47</v>
      </c>
      <c r="D2" t="n">
        <v>12.5</v>
      </c>
      <c r="E2" t="n">
        <v>3100</v>
      </c>
    </row>
    <row r="3">
      <c r="A3" t="inlineStr">
        <is>
          <t>2026-04-15</t>
        </is>
      </c>
      <c r="B3" t="inlineStr">
        <is>
          <t>S4 code-qa</t>
        </is>
      </c>
      <c r="C3" t="n">
        <v>23</v>
      </c>
      <c r="D3" t="n">
        <v>18</v>
      </c>
      <c r="E3" t="n">
        <v>8200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human_partner_count</t>
        </is>
      </c>
      <c r="C1" s="1" t="inlineStr">
        <is>
          <t>ai_agent_count</t>
        </is>
      </c>
      <c r="D1" s="1" t="inlineStr">
        <is>
          <t>agent_human_ratio</t>
        </is>
      </c>
      <c r="E1" s="1" t="inlineStr">
        <is>
          <t>monthly_outputs_human</t>
        </is>
      </c>
      <c r="F1" s="1" t="inlineStr">
        <is>
          <t>monthly_outputs_agent_assisted</t>
        </is>
      </c>
      <c r="G1" s="1" t="inlineStr">
        <is>
          <t>ratio_trend</t>
        </is>
      </c>
    </row>
    <row r="2">
      <c r="A2" t="inlineStr">
        <is>
          <t>engineering</t>
        </is>
      </c>
      <c r="B2" t="n">
        <v>8</v>
      </c>
      <c r="C2" t="n">
        <v>12</v>
      </c>
      <c r="D2">
        <f>IFERROR(C2/B2,0)</f>
        <v/>
      </c>
      <c r="E2" t="n">
        <v>64</v>
      </c>
      <c r="F2" t="n">
        <v>41</v>
      </c>
      <c r="G2" t="inlineStr">
        <is>
          <t>+0.1 vs 30d ago</t>
        </is>
      </c>
    </row>
    <row r="3">
      <c r="A3" t="inlineStr">
        <is>
          <t>sales</t>
        </is>
      </c>
      <c r="B3" t="n">
        <v>3</v>
      </c>
      <c r="C3" t="n">
        <v>2</v>
      </c>
      <c r="D3">
        <f>IFERROR(C3/B3,0)</f>
        <v/>
      </c>
      <c r="E3" t="n">
        <v>14</v>
      </c>
      <c r="F3" t="n">
        <v>8</v>
      </c>
      <c r="G3" t="inlineStr">
        <is>
          <t>0 vs 30d ago</t>
        </is>
      </c>
    </row>
    <row r="4">
      <c r="A4" t="inlineStr">
        <is>
          <t>marketing</t>
        </is>
      </c>
      <c r="B4" t="n">
        <v>2</v>
      </c>
      <c r="C4" t="n">
        <v>3</v>
      </c>
      <c r="D4">
        <f>IFERROR(C4/B4,0)</f>
        <v/>
      </c>
      <c r="E4" t="n">
        <v>22</v>
      </c>
      <c r="F4" t="n">
        <v>18</v>
      </c>
      <c r="G4" t="inlineStr">
        <is>
          <t>+0.5 vs 30d ago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skill_pack</t>
        </is>
      </c>
      <c r="B1" s="1" t="inlineStr">
        <is>
          <t>monthly_cost</t>
        </is>
      </c>
      <c r="C1" s="1" t="inlineStr">
        <is>
          <t>monthly_outputs_value</t>
        </is>
      </c>
      <c r="D1" s="1" t="inlineStr">
        <is>
          <t>roi_multiple</t>
        </is>
      </c>
      <c r="E1" s="1" t="inlineStr">
        <is>
          <t>break_even_threshold</t>
        </is>
      </c>
    </row>
    <row r="2">
      <c r="A2" t="inlineStr">
        <is>
          <t>[SAMPLE]S3 compensation-attribution</t>
        </is>
      </c>
      <c r="B2" t="n">
        <v>28</v>
      </c>
      <c r="C2" t="n">
        <v>4500</v>
      </c>
      <c r="D2">
        <f>IFERROR(C2/B2,0)</f>
        <v/>
      </c>
      <c r="E2" t="n">
        <v>1</v>
      </c>
    </row>
    <row r="3">
      <c r="A3" t="inlineStr">
        <is>
          <t>[SAMPLE]S4 code-qa</t>
        </is>
      </c>
      <c r="B3" t="n">
        <v>142</v>
      </c>
      <c r="C3" t="n">
        <v>8200</v>
      </c>
      <c r="D3">
        <f>IFERROR(C3/B3,0)</f>
        <v/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2026-07-04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agent-skill-roi.xlsx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Track per-Skill and per-agent costs vs. outputs. The "human-agent ratio" (Microsoft Frontier Firm metric) materialises in financial terms.</t>
        </is>
      </c>
    </row>
    <row r="5">
      <c r="A5" t="inlineStr"/>
    </row>
    <row r="6">
      <c r="A6" t="inlineStr">
        <is>
          <t>WRITTEN BY</t>
        </is>
      </c>
    </row>
    <row r="7">
      <c r="A7" t="inlineStr">
        <is>
          <t>- Routine R1 (daily output capture, indirectly via Skill_Outputs).</t>
        </is>
      </c>
    </row>
    <row r="8">
      <c r="A8" t="inlineStr">
        <is>
          <t>- Routine R8 (weekly Treasury Update — pulls Agent_Costs from API usage dashboards).</t>
        </is>
      </c>
    </row>
    <row r="9">
      <c r="A9" t="inlineStr">
        <is>
          <t>- Manual at Skill Pack rollouts (Skill_Outputs hours_saved_estimated).</t>
        </is>
      </c>
    </row>
    <row r="10">
      <c r="A10" t="inlineStr"/>
    </row>
    <row r="11">
      <c r="A11" t="inlineStr">
        <is>
          <t>READ BY</t>
        </is>
      </c>
    </row>
    <row r="12">
      <c r="A12" t="inlineStr">
        <is>
          <t>- Skill Pack S5 (Reporting &amp; BR) — KPI movements block.</t>
        </is>
      </c>
    </row>
    <row r="13">
      <c r="A13" t="inlineStr">
        <is>
          <t>- Skill Pack S10 (Finance &amp; Treasury) — financial close.</t>
        </is>
      </c>
    </row>
    <row r="14">
      <c r="A14" t="inlineStr">
        <is>
          <t>- Friday BR — KPI snapshot block.</t>
        </is>
      </c>
    </row>
    <row r="15">
      <c r="A15" t="inlineStr"/>
    </row>
    <row r="16">
      <c r="A16" t="inlineStr">
        <is>
          <t>DO NOT</t>
        </is>
      </c>
    </row>
    <row r="17">
      <c r="A17" t="inlineStr">
        <is>
          <t>- Change cost-attribution methodology without a Brain ADR (changes affect ROI calculations partners can see).</t>
        </is>
      </c>
    </row>
    <row r="18">
      <c r="A18" t="inlineStr">
        <is>
          <t>- Inflate `hours_saved_estimated` to make a Skill Pack rollout look favourable. Use the rolling 90-day baseline (per S6 §4.1) as the comparator.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2026-07-04T12:23:19Z</dcterms:created>
  <dcterms:modified xsi:type="dcterms:W3CDTF">2026-07-04T12:23:19Z</dcterms:modified>
</cp:coreProperties>
</file>